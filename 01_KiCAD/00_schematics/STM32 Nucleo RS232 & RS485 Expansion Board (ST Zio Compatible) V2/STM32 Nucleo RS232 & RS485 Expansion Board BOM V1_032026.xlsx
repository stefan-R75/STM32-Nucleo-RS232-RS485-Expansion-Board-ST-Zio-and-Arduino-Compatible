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vanrozendaal/Library/Mobile Documents/com~apple~CloudDocs/00_Projects/STM32 Nucleo RS232 &amp; RS485 Expansion Board (ST Zio Compatible) V2/04-Github/STM32-Nucleo-RS232---RS485-Expansion-Board--ST-Zio-Compatible--V2/01_KiCAD/00_schematics/STM32 Nucleo RS232 &amp; RS485 Expansion Board (ST Zio Compatible) V2/"/>
    </mc:Choice>
  </mc:AlternateContent>
  <xr:revisionPtr revIDLastSave="0" documentId="8_{19FE3566-4ECC-D843-912C-9C690FE1E361}" xr6:coauthVersionLast="47" xr6:coauthVersionMax="47" xr10:uidLastSave="{00000000-0000-0000-0000-000000000000}"/>
  <bookViews>
    <workbookView xWindow="2680" yWindow="1560" windowWidth="28240" windowHeight="17240" xr2:uid="{728EE263-2173-104B-8068-05A0E71CA2A0}"/>
  </bookViews>
  <sheets>
    <sheet name="Blad1" sheetId="1" r:id="rId1"/>
  </sheets>
  <definedNames>
    <definedName name="STM32_Nucleo_RS232___RS485_Expansion_Board__ST_Zio_Compatible__V2" localSheetId="0">Blad1!$A$1:$AE$70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" i="1" l="1"/>
  <c r="S69" i="1"/>
  <c r="R69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E2" i="1"/>
  <c r="D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10C7F8-1BBB-C240-8829-7C4DC68DA696}" name="STM32 Nucleo RS232 &amp; RS485 Expansion Board (ST Zio Compatible) V2" type="6" refreshedVersion="8" background="1" saveData="1">
    <textPr codePage="10000" sourceFile="/Users/stefanvanrozendaal/Library/Mobile Documents/com~apple~CloudDocs/00_Projects/STM32 Nucleo RS232 &amp; RS485 Expansion Board (ST Zio Compatible) V2.csv" decimal="," thousands=".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<sst xmlns="http://schemas.openxmlformats.org/spreadsheetml/2006/main" count="590" uniqueCount="282">
  <si>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</si>
  <si>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</si>
  <si>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</si>
  <si>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</si>
  <si>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</si>
  <si>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</si>
  <si>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</si>
  <si>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</si>
  <si>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Color</t>
  </si>
  <si>
    <t>DESCRIPTION</t>
  </si>
  <si>
    <t>Description_1</t>
  </si>
  <si>
    <t>Dielectric</t>
  </si>
  <si>
    <t>LCSC</t>
  </si>
  <si>
    <t>MANUFACTURER</t>
  </si>
  <si>
    <t>MANUFACTURER_NAME</t>
  </si>
  <si>
    <t>MANUFACTURER_PART_NUMBER</t>
  </si>
  <si>
    <t>Manufacturer</t>
  </si>
  <si>
    <t>Package</t>
  </si>
  <si>
    <t>Supplier</t>
  </si>
  <si>
    <t>Tolerance</t>
  </si>
  <si>
    <t>Type</t>
  </si>
  <si>
    <t>Voltage</t>
  </si>
  <si>
    <t>Voltage Rating</t>
  </si>
  <si>
    <t>Description</t>
  </si>
  <si>
    <t>C1,C8,C10,C12,C13,C14</t>
  </si>
  <si>
    <t>1¬µF</t>
  </si>
  <si>
    <t>PCM_SparkFun-Capacitor:C_0603_1608Metric</t>
  </si>
  <si>
    <t>https://cdn.sparkfun.com/assets/8/a/4/a/5/Kemet_Capacitor_Datasheet.pdf</t>
  </si>
  <si>
    <t>X7R 5%</t>
  </si>
  <si>
    <t>C559769</t>
  </si>
  <si>
    <t>YAGEO</t>
  </si>
  <si>
    <t>SMD</t>
  </si>
  <si>
    <t>25V</t>
  </si>
  <si>
    <t>50V</t>
  </si>
  <si>
    <t>Unpolarized capacitor</t>
  </si>
  <si>
    <t>C2,C3,C5,C9,C11,C15,C16,C17,C18,C19,C21,C22,C25,C26,C27,C30,C33</t>
  </si>
  <si>
    <t>100nF</t>
  </si>
  <si>
    <t>C91183</t>
  </si>
  <si>
    <t>C4</t>
  </si>
  <si>
    <t>10nF</t>
  </si>
  <si>
    <t>C115056</t>
  </si>
  <si>
    <t>C6,C20,C24</t>
  </si>
  <si>
    <t>470nF</t>
  </si>
  <si>
    <t>X7R 10%,X7R 20%</t>
  </si>
  <si>
    <t>C14663</t>
  </si>
  <si>
    <t>25V,50V</t>
  </si>
  <si>
    <t>C7</t>
  </si>
  <si>
    <t>47¬µF</t>
  </si>
  <si>
    <t>EEEFT1H470AP:CAP_EEEFT1H470AP</t>
  </si>
  <si>
    <t>~</t>
  </si>
  <si>
    <t>C92059</t>
  </si>
  <si>
    <t>PANASONIC</t>
  </si>
  <si>
    <t>SMD,D6.3xL5.8mm</t>
  </si>
  <si>
    <t>Polarized capacitor</t>
  </si>
  <si>
    <t>CN7</t>
  </si>
  <si>
    <t>Conn_02x10_Odd_Even</t>
  </si>
  <si>
    <t>SSW-110-23-X-D:SAMTEC_SSW-110-23-X-D</t>
  </si>
  <si>
    <t>C6236460</t>
  </si>
  <si>
    <t>Samtec</t>
  </si>
  <si>
    <t>Through Hole,P=2.54mm</t>
  </si>
  <si>
    <t>THT</t>
  </si>
  <si>
    <t>Generic connector, double row, 02x10, odd/even pin numbering scheme (row 1 odd numbers, row 2 even numbers), script generated (kicad-library-utils/schlib/autogen/connector/)</t>
  </si>
  <si>
    <t>CN8</t>
  </si>
  <si>
    <t>Conn_02x08_Odd_Even</t>
  </si>
  <si>
    <t>SSW-108-23-F-D:SAMTEC_SSW-108-23-F-D</t>
  </si>
  <si>
    <t>C7019040</t>
  </si>
  <si>
    <t>Generic connector, double row, 02x08, odd/even pin numbering scheme (row 1 odd numbers, row 2 even numbers), script generated (kicad-library-utils/schlib/autogen/connector/)</t>
  </si>
  <si>
    <t>CN9</t>
  </si>
  <si>
    <t>Conn_02x15_Odd_Even</t>
  </si>
  <si>
    <t>SSW-115-23-F-D:SAMTEC_SSW-115-23-F-D</t>
  </si>
  <si>
    <t>C7089189</t>
  </si>
  <si>
    <t>Generic connector, double row, 02x15, odd/even pin numbering scheme (row 1 odd numbers, row 2 even numbers), script generated (kicad-library-utils/schlib/autogen/connector/)</t>
  </si>
  <si>
    <t>CN10</t>
  </si>
  <si>
    <t>Conn_02x17_Odd_Even</t>
  </si>
  <si>
    <t>SSW-117-23-F-D:SAMTEC_SSW-117-23-F-D</t>
  </si>
  <si>
    <t>C6501751</t>
  </si>
  <si>
    <t>Generic connector, double row, 02x17, odd/even pin numbering scheme (row 1 odd numbers, row 2 even numbers), script generated (kicad-library-utils/schlib/autogen/connector/)</t>
  </si>
  <si>
    <t>D1</t>
  </si>
  <si>
    <t>LED</t>
  </si>
  <si>
    <t>IN-S63AT:LED_0603_WRE</t>
  </si>
  <si>
    <t>red</t>
  </si>
  <si>
    <t>C7286681</t>
  </si>
  <si>
    <t>Broadcom</t>
  </si>
  <si>
    <t xml:space="preserve">If=20mA/Vf=2,2V </t>
  </si>
  <si>
    <t>Light emitting diode</t>
  </si>
  <si>
    <t>D3,D6</t>
  </si>
  <si>
    <t>BAT54J</t>
  </si>
  <si>
    <t>Diode_SMD:D_SOD-323F</t>
  </si>
  <si>
    <t>https://assets.nexperia.com/documents/data-sheet/BAT54J.pdf</t>
  </si>
  <si>
    <t>C86299</t>
  </si>
  <si>
    <t>ST</t>
  </si>
  <si>
    <t>SOD-323</t>
  </si>
  <si>
    <t>If=300mA</t>
  </si>
  <si>
    <t>30V 200mA Schottky diode, SOD-323F</t>
  </si>
  <si>
    <t>D4,D7,D9,D11,D13,D15,D17,D19,D21</t>
  </si>
  <si>
    <t>green</t>
  </si>
  <si>
    <t>C5656662</t>
  </si>
  <si>
    <t>Inolux</t>
  </si>
  <si>
    <t xml:space="preserve">If=25mA/Vf=2,7V </t>
  </si>
  <si>
    <t>D5,D8,D10,D12,D14,D16,D18,D20</t>
  </si>
  <si>
    <t>amber</t>
  </si>
  <si>
    <t>C5656657</t>
  </si>
  <si>
    <t xml:space="preserve">If=25mA/Vf=2,0V </t>
  </si>
  <si>
    <t>IC1</t>
  </si>
  <si>
    <t>REG103GA-A</t>
  </si>
  <si>
    <t>REG103GA-A:SOT127P706X180-6N</t>
  </si>
  <si>
    <t>Linear voltage regulator,REG103GA-A 5.5V REG103GA-A, Low Dropout Voltage Regulator, Adjustable 0.5A, 1.295  5.5 V 2%, 6-Pin SOT-223</t>
  </si>
  <si>
    <t>500-mA, 15-V, low-dropout voltage regulator with power good &amp; enable</t>
  </si>
  <si>
    <t>Texas Instruments</t>
  </si>
  <si>
    <t>SOT-223-6 Texas Instruments</t>
  </si>
  <si>
    <t>J1</t>
  </si>
  <si>
    <t>PH1190299:PHOENIX_1190299</t>
  </si>
  <si>
    <t>https://www.lcsc.com/datasheet/C3309834.pdf</t>
  </si>
  <si>
    <t>LPT 2,5/ 4-5,0 | Phoenix Contact 1190299</t>
  </si>
  <si>
    <t>C3309834</t>
  </si>
  <si>
    <t>PHOENIX</t>
  </si>
  <si>
    <t>Phoenix Contact</t>
  </si>
  <si>
    <t>None</t>
  </si>
  <si>
    <t>4 Position Wire to Board Terminal Block 5mm Through Hole</t>
  </si>
  <si>
    <t>J2</t>
  </si>
  <si>
    <t>CONN D-SUB PLUG 9POS TH</t>
  </si>
  <si>
    <t>SubD-M-2301843-2:CONN9_2301843-2_TEC</t>
  </si>
  <si>
    <t>C591554</t>
  </si>
  <si>
    <t>TE Connectivity</t>
  </si>
  <si>
    <t>Through Hole</t>
  </si>
  <si>
    <t>9-pin D-SUB connector, pins (male)</t>
  </si>
  <si>
    <t>J3</t>
  </si>
  <si>
    <t>TCVR_PWR</t>
  </si>
  <si>
    <t>Samtec_Connector:Samtec HTSW-103-07-F-S</t>
  </si>
  <si>
    <t>C6631883</t>
  </si>
  <si>
    <t>Jumper Default= 1-2</t>
  </si>
  <si>
    <t>Generic connector, single row, 01x03, script generated (kicad-library-utils/schlib/autogen/connector/)</t>
  </si>
  <si>
    <t>J4</t>
  </si>
  <si>
    <t>TX_LED</t>
  </si>
  <si>
    <t>J5</t>
  </si>
  <si>
    <t>RX_LED</t>
  </si>
  <si>
    <t>J6</t>
  </si>
  <si>
    <t>SW_ENA</t>
  </si>
  <si>
    <t>J7</t>
  </si>
  <si>
    <t>MODE0</t>
  </si>
  <si>
    <t>J8</t>
  </si>
  <si>
    <t>MODE1</t>
  </si>
  <si>
    <t>J9</t>
  </si>
  <si>
    <t>MODE2</t>
  </si>
  <si>
    <t>J10</t>
  </si>
  <si>
    <t>DIR</t>
  </si>
  <si>
    <t>J11</t>
  </si>
  <si>
    <t>TERM_TX</t>
  </si>
  <si>
    <t>J12</t>
  </si>
  <si>
    <t>TERM_RX</t>
  </si>
  <si>
    <t>J13</t>
  </si>
  <si>
    <t>SLR</t>
  </si>
  <si>
    <t>J14</t>
  </si>
  <si>
    <t>HD-A(Y)</t>
  </si>
  <si>
    <t>J15</t>
  </si>
  <si>
    <t>HD-B(Z)</t>
  </si>
  <si>
    <t>R1</t>
  </si>
  <si>
    <t>150K</t>
  </si>
  <si>
    <t>PCM_fab:R_0603</t>
  </si>
  <si>
    <t>C114660</t>
  </si>
  <si>
    <t>1% 100mW</t>
  </si>
  <si>
    <t>Resistor</t>
  </si>
  <si>
    <t>R2,R24,R25,R27,R37,R38,R39,R55,R56,R57,R67</t>
  </si>
  <si>
    <t>100K</t>
  </si>
  <si>
    <t>C14675</t>
  </si>
  <si>
    <t>R3,R4,R5,R6</t>
  </si>
  <si>
    <t>0R</t>
  </si>
  <si>
    <t>C253507</t>
  </si>
  <si>
    <t>ROHM</t>
  </si>
  <si>
    <t>250mW</t>
  </si>
  <si>
    <t>R7,R12,R19,R70,R71,R72,R73,R74,R75,R76</t>
  </si>
  <si>
    <t>330R</t>
  </si>
  <si>
    <t>C105881</t>
  </si>
  <si>
    <t>R8,R14,R26,R32,R34,R36,R50,R52,R54,R66</t>
  </si>
  <si>
    <t>590R</t>
  </si>
  <si>
    <t>C22548</t>
  </si>
  <si>
    <t>R9,R22,R23,R40,R41,R42,R43,R44,R45,R58,R59,R60,R61,R62,R63,R68,R69</t>
  </si>
  <si>
    <t>10K</t>
  </si>
  <si>
    <t>C98220</t>
  </si>
  <si>
    <t>R10,R15</t>
  </si>
  <si>
    <t>1K</t>
  </si>
  <si>
    <t>R11,R16</t>
  </si>
  <si>
    <t>453K</t>
  </si>
  <si>
    <t>R13,R17,R28,R29,R30,R46,R47,R48,R64</t>
  </si>
  <si>
    <t>1M</t>
  </si>
  <si>
    <t>C105578,C14675</t>
  </si>
  <si>
    <t>0603,C105578</t>
  </si>
  <si>
    <t>R18,R31,R33,R35,R49,R51,R53,R65</t>
  </si>
  <si>
    <t>137R</t>
  </si>
  <si>
    <t>C227580</t>
  </si>
  <si>
    <t>TP1,TP8,TP21,TP26,TP31</t>
  </si>
  <si>
    <t>GND</t>
  </si>
  <si>
    <t>5006_Black:KEYSTONE_5006</t>
  </si>
  <si>
    <t>Test Point Compact THM PC .350 L .125 OD Heat Resistant Nylon 46 Black | Keystone Electronics 5006</t>
  </si>
  <si>
    <t>Keystone Electronics</t>
  </si>
  <si>
    <t>NON STANDARD-1 Keystone</t>
  </si>
  <si>
    <t>TP2</t>
  </si>
  <si>
    <t>5V0_IN</t>
  </si>
  <si>
    <t>5005_Red:KEYSTONE_5005</t>
  </si>
  <si>
    <t>Test Point Compact THM H .350 Nylon46 Insulated Red PhosBronze/Silver | Keystone Electronics 5005</t>
  </si>
  <si>
    <t>TP3</t>
  </si>
  <si>
    <t>3V3_IN</t>
  </si>
  <si>
    <t>TP4</t>
  </si>
  <si>
    <t>3V3_LDO</t>
  </si>
  <si>
    <t>TP5</t>
  </si>
  <si>
    <t>PR1</t>
  </si>
  <si>
    <t>TP6</t>
  </si>
  <si>
    <t>5007_White:KEYSTONE_5007</t>
  </si>
  <si>
    <t>Test Point Compact THM H .350 Nylon46 Insulated White PhosBronze/Silver | Keystone Electronics 5007</t>
  </si>
  <si>
    <t>TP7</t>
  </si>
  <si>
    <t>3V3_SYS</t>
  </si>
  <si>
    <t>TP9</t>
  </si>
  <si>
    <t>TX-(Z)</t>
  </si>
  <si>
    <t>5009_Yellow:KEYSTONE_5009</t>
  </si>
  <si>
    <t>Test Point Compact THM H .350 Nylon46 Insulated Yellow PhosBronze/Silver | Keystone Electronics 5009</t>
  </si>
  <si>
    <t>TP10</t>
  </si>
  <si>
    <t>TX+(Y)</t>
  </si>
  <si>
    <t>TP11</t>
  </si>
  <si>
    <t>RX+(A)</t>
  </si>
  <si>
    <t>5008_Orange:KEYSTONE_5008</t>
  </si>
  <si>
    <t>Compact THM Test Point -Orange</t>
  </si>
  <si>
    <t>TP12</t>
  </si>
  <si>
    <t>RX-(B)</t>
  </si>
  <si>
    <t>TP13,TP22</t>
  </si>
  <si>
    <t>DCD</t>
  </si>
  <si>
    <t>TP14,TP23</t>
  </si>
  <si>
    <t>RXD</t>
  </si>
  <si>
    <t>TP15</t>
  </si>
  <si>
    <t>TXD</t>
  </si>
  <si>
    <t>TP16</t>
  </si>
  <si>
    <t>DTR</t>
  </si>
  <si>
    <t>TP17</t>
  </si>
  <si>
    <t>DSR</t>
  </si>
  <si>
    <t>TP18</t>
  </si>
  <si>
    <t>RTS</t>
  </si>
  <si>
    <t>TP19</t>
  </si>
  <si>
    <t>CTS</t>
  </si>
  <si>
    <t>TP20</t>
  </si>
  <si>
    <t>RI</t>
  </si>
  <si>
    <t>TP24</t>
  </si>
  <si>
    <t>TP25</t>
  </si>
  <si>
    <t>TP27</t>
  </si>
  <si>
    <t>TP28</t>
  </si>
  <si>
    <t>TP29</t>
  </si>
  <si>
    <t>TP30</t>
  </si>
  <si>
    <t>U1</t>
  </si>
  <si>
    <t>TPS2117DRLR</t>
  </si>
  <si>
    <t>TPS2117DRLR:SOTFL50P160X60-8N</t>
  </si>
  <si>
    <t>1.6-V to 5.5-V, 20-mŒ©, 4-A low IQ power multiplexer with manual and priority switchover</t>
  </si>
  <si>
    <t>SOT-583 Texas Instruments</t>
  </si>
  <si>
    <t>U2</t>
  </si>
  <si>
    <t>THVD4431RHAR</t>
  </si>
  <si>
    <t>THVD4431RHAR:RHA0040R-MFG</t>
  </si>
  <si>
    <t>https://www.ti.com/lit/gpn/thvd4431</t>
  </si>
  <si>
    <t>C22445427</t>
  </si>
  <si>
    <t>TI</t>
  </si>
  <si>
    <t>VQFN-40-EP(6x6)</t>
  </si>
  <si>
    <t>Transceiver 3V~5.5V 1Mbps VQFN-40-EP(6x6) Drivers, Receivers, Transceivers RoHS</t>
  </si>
  <si>
    <t>U3,U11</t>
  </si>
  <si>
    <t>SN74LVC2G14DBV</t>
  </si>
  <si>
    <t>Package_TO_SOT_SMD:SOT-23-6</t>
  </si>
  <si>
    <t>https://www.ti.com/lit/ds/symlink/sn74lvc2g14.pdf</t>
  </si>
  <si>
    <t>Dual schmitt inverter, VCC from 1.65 to 5.5 V, SOT-23</t>
  </si>
  <si>
    <t>U4</t>
  </si>
  <si>
    <t>SN74LVC245ADBR</t>
  </si>
  <si>
    <t>SN74LVC245ADBR:SOP65P780X200-20N</t>
  </si>
  <si>
    <t>https://www.lcsc.com/datasheet/C393617.pdf</t>
  </si>
  <si>
    <t>Octal Bus Transceiver With 3-State Outputs</t>
  </si>
  <si>
    <t>U5,U12</t>
  </si>
  <si>
    <t>SN74LVC14ADR</t>
  </si>
  <si>
    <t>SN74LVC14ADR:SOIC127P600X175-14N</t>
  </si>
  <si>
    <t>Qty_2</t>
  </si>
  <si>
    <t>Qte_5</t>
  </si>
  <si>
    <t>Qte_10</t>
  </si>
  <si>
    <t>Min order Qty</t>
  </si>
  <si>
    <t>€ / 2 stk</t>
  </si>
  <si>
    <t>€ / 5 stk</t>
  </si>
  <si>
    <t>€ / 10 stk</t>
  </si>
  <si>
    <t>TOTAL PARTS COSTS</t>
  </si>
  <si>
    <t>2 stuks</t>
  </si>
  <si>
    <t>5 stuks</t>
  </si>
  <si>
    <t>10 stuks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</si>
</sst>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M32 Nucleo RS232 &amp; RS485 Expansion Board (ST Zio Compatible) V2" connectionId="1" xr16:uid="{63A68C6F-543D-D44B-B63C-5E038F748C9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84ED-9E8B-2C47-B2F0-ADD9AB871135}">
  <dimension ref="A1:AE71"/>
  <sheetViews>
    <sheetView tabSelected="1" topLeftCell="N54" zoomScale="160" zoomScaleNormal="160" workbookViewId="0">
      <selection activeCell="R63" sqref="R63"/>
    </sheetView>
  </sheetViews>
  <sheetFormatPr baseColWidth="10" defaultRowHeight="16" x14ac:dyDescent="0.2"/>
  <cols>
    <col min="1" max="1" width="63.6640625" bestFit="1" customWidth="1"/>
    <col min="2" max="2" width="4" style="2" bestFit="1" customWidth="1"/>
    <col min="3" max="3" width="5.83203125" style="2" bestFit="1" customWidth="1"/>
    <col min="4" max="4" width="6" style="2" bestFit="1" customWidth="1"/>
    <col min="5" max="5" width="7" style="2" bestFit="1" customWidth="1"/>
    <col min="6" max="6" width="24.33203125" bestFit="1" customWidth="1"/>
    <col min="7" max="7" width="4.83203125" bestFit="1" customWidth="1"/>
    <col min="8" max="8" width="15.83203125" bestFit="1" customWidth="1"/>
    <col min="9" max="9" width="16.83203125" bestFit="1" customWidth="1"/>
    <col min="10" max="10" width="39.83203125" bestFit="1" customWidth="1"/>
    <col min="11" max="11" width="64.5" bestFit="1" customWidth="1"/>
    <col min="12" max="12" width="6.33203125" bestFit="1" customWidth="1"/>
    <col min="13" max="14" width="80.6640625" bestFit="1" customWidth="1"/>
    <col min="15" max="15" width="15.6640625" bestFit="1" customWidth="1"/>
    <col min="16" max="16" width="15.33203125" bestFit="1" customWidth="1"/>
    <col min="17" max="20" width="15.33203125" customWidth="1"/>
    <col min="21" max="21" width="18.1640625" bestFit="1" customWidth="1"/>
    <col min="22" max="22" width="20.6640625" bestFit="1" customWidth="1"/>
    <col min="23" max="23" width="28.33203125" bestFit="1" customWidth="1"/>
    <col min="24" max="24" width="14.5" bestFit="1" customWidth="1"/>
    <col min="25" max="25" width="24.83203125" bestFit="1" customWidth="1"/>
    <col min="26" max="26" width="7.83203125" bestFit="1" customWidth="1"/>
    <col min="27" max="27" width="9.1640625" bestFit="1" customWidth="1"/>
    <col min="28" max="28" width="5" bestFit="1" customWidth="1"/>
    <col min="29" max="29" width="7.1640625" bestFit="1" customWidth="1"/>
    <col min="30" max="30" width="17.5" bestFit="1" customWidth="1"/>
    <col min="31" max="31" width="80.6640625" bestFit="1" customWidth="1"/>
  </cols>
  <sheetData>
    <row r="1" spans="1:31" x14ac:dyDescent="0.2">
      <c r="A1" t="s">
        <v>0</v>
      </c>
      <c r="B1" s="2" t="s">
        <v>1</v>
      </c>
      <c r="C1" s="2" t="s">
        <v>271</v>
      </c>
      <c r="D1" s="2" t="s">
        <v>272</v>
      </c>
      <c r="E1" s="2" t="s">
        <v>273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274</v>
      </c>
      <c r="R1" t="s">
        <v>275</v>
      </c>
      <c r="S1" t="s">
        <v>276</v>
      </c>
      <c r="T1" t="s">
        <v>277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</row>
    <row r="2" spans="1:31" x14ac:dyDescent="0.2">
      <c r="A2" t="s">
        <v>24</v>
      </c>
      <c r="B2" s="2">
        <v>6</v>
      </c>
      <c r="C2" s="2">
        <f>B2*2</f>
        <v>12</v>
      </c>
      <c r="D2" s="2">
        <f>B2*5</f>
        <v>30</v>
      </c>
      <c r="E2" s="2">
        <f>B2*10</f>
        <v>60</v>
      </c>
      <c r="F2" t="s">
        <v>25</v>
      </c>
      <c r="J2" t="s">
        <v>26</v>
      </c>
      <c r="K2" t="s">
        <v>27</v>
      </c>
      <c r="O2" t="s">
        <v>28</v>
      </c>
      <c r="P2" t="s">
        <v>29</v>
      </c>
      <c r="R2">
        <v>2</v>
      </c>
      <c r="S2">
        <v>5</v>
      </c>
      <c r="T2">
        <v>10</v>
      </c>
      <c r="X2" t="s">
        <v>30</v>
      </c>
      <c r="Y2">
        <v>603</v>
      </c>
      <c r="AA2" s="1">
        <v>0.2</v>
      </c>
      <c r="AB2" t="s">
        <v>31</v>
      </c>
      <c r="AC2" t="s">
        <v>32</v>
      </c>
      <c r="AD2" t="s">
        <v>33</v>
      </c>
      <c r="AE2" t="s">
        <v>34</v>
      </c>
    </row>
    <row r="3" spans="1:31" x14ac:dyDescent="0.2">
      <c r="A3" t="s">
        <v>35</v>
      </c>
      <c r="B3" s="2">
        <v>17</v>
      </c>
      <c r="C3" s="2">
        <f t="shared" ref="C3:C66" si="0">B3*2</f>
        <v>34</v>
      </c>
      <c r="D3" s="2">
        <f t="shared" ref="D3:D66" si="1">B3*5</f>
        <v>85</v>
      </c>
      <c r="E3" s="2">
        <f t="shared" ref="E3:E66" si="2">B3*10</f>
        <v>170</v>
      </c>
      <c r="F3" t="s">
        <v>36</v>
      </c>
      <c r="J3" t="s">
        <v>26</v>
      </c>
      <c r="K3" t="s">
        <v>27</v>
      </c>
      <c r="O3" t="s">
        <v>28</v>
      </c>
      <c r="P3" t="s">
        <v>37</v>
      </c>
      <c r="X3" t="s">
        <v>30</v>
      </c>
      <c r="Y3">
        <v>603</v>
      </c>
      <c r="AA3" s="1">
        <v>0.2</v>
      </c>
      <c r="AB3" t="s">
        <v>31</v>
      </c>
      <c r="AC3" t="s">
        <v>32</v>
      </c>
      <c r="AD3" t="s">
        <v>33</v>
      </c>
      <c r="AE3" t="s">
        <v>34</v>
      </c>
    </row>
    <row r="4" spans="1:31" x14ac:dyDescent="0.2">
      <c r="A4" t="s">
        <v>38</v>
      </c>
      <c r="B4" s="2">
        <v>1</v>
      </c>
      <c r="C4" s="2">
        <f t="shared" si="0"/>
        <v>2</v>
      </c>
      <c r="D4" s="2">
        <f t="shared" si="1"/>
        <v>5</v>
      </c>
      <c r="E4" s="2">
        <f t="shared" si="2"/>
        <v>10</v>
      </c>
      <c r="F4" t="s">
        <v>39</v>
      </c>
      <c r="J4" t="s">
        <v>26</v>
      </c>
      <c r="K4" t="s">
        <v>27</v>
      </c>
      <c r="O4" t="s">
        <v>28</v>
      </c>
      <c r="P4" t="s">
        <v>40</v>
      </c>
      <c r="X4" t="s">
        <v>30</v>
      </c>
      <c r="Y4">
        <v>603</v>
      </c>
      <c r="AA4" s="1">
        <v>0.2</v>
      </c>
      <c r="AB4" t="s">
        <v>31</v>
      </c>
      <c r="AC4" t="s">
        <v>32</v>
      </c>
      <c r="AD4" t="s">
        <v>33</v>
      </c>
      <c r="AE4" t="s">
        <v>34</v>
      </c>
    </row>
    <row r="5" spans="1:31" x14ac:dyDescent="0.2">
      <c r="A5" t="s">
        <v>41</v>
      </c>
      <c r="B5" s="2">
        <v>3</v>
      </c>
      <c r="C5" s="2">
        <f t="shared" si="0"/>
        <v>6</v>
      </c>
      <c r="D5" s="2">
        <f t="shared" si="1"/>
        <v>15</v>
      </c>
      <c r="E5" s="2">
        <f t="shared" si="2"/>
        <v>30</v>
      </c>
      <c r="F5" t="s">
        <v>42</v>
      </c>
      <c r="J5" t="s">
        <v>26</v>
      </c>
      <c r="K5" t="s">
        <v>27</v>
      </c>
      <c r="O5" t="s">
        <v>43</v>
      </c>
      <c r="P5" t="s">
        <v>44</v>
      </c>
      <c r="X5" t="s">
        <v>30</v>
      </c>
      <c r="Y5">
        <v>603</v>
      </c>
      <c r="AA5" s="1">
        <v>0.2</v>
      </c>
      <c r="AB5" t="s">
        <v>31</v>
      </c>
      <c r="AC5" t="s">
        <v>32</v>
      </c>
      <c r="AD5" t="s">
        <v>45</v>
      </c>
      <c r="AE5" t="s">
        <v>34</v>
      </c>
    </row>
    <row r="6" spans="1:31" x14ac:dyDescent="0.2">
      <c r="A6" t="s">
        <v>46</v>
      </c>
      <c r="B6" s="2">
        <v>1</v>
      </c>
      <c r="C6" s="2">
        <f t="shared" si="0"/>
        <v>2</v>
      </c>
      <c r="D6" s="2">
        <f t="shared" si="1"/>
        <v>5</v>
      </c>
      <c r="E6" s="2">
        <f t="shared" si="2"/>
        <v>10</v>
      </c>
      <c r="F6" t="s">
        <v>47</v>
      </c>
      <c r="J6" t="s">
        <v>48</v>
      </c>
      <c r="K6" t="s">
        <v>49</v>
      </c>
      <c r="O6" s="1">
        <v>0.2</v>
      </c>
      <c r="P6" t="s">
        <v>50</v>
      </c>
      <c r="X6" t="s">
        <v>51</v>
      </c>
      <c r="Y6" t="s">
        <v>52</v>
      </c>
      <c r="AB6" t="s">
        <v>31</v>
      </c>
      <c r="AD6" t="s">
        <v>33</v>
      </c>
      <c r="AE6" t="s">
        <v>53</v>
      </c>
    </row>
    <row r="7" spans="1:31" x14ac:dyDescent="0.2">
      <c r="A7" t="s">
        <v>54</v>
      </c>
      <c r="B7" s="2">
        <v>1</v>
      </c>
      <c r="C7" s="2">
        <f t="shared" si="0"/>
        <v>2</v>
      </c>
      <c r="D7" s="2">
        <f t="shared" si="1"/>
        <v>5</v>
      </c>
      <c r="E7" s="2">
        <f t="shared" si="2"/>
        <v>10</v>
      </c>
      <c r="F7" t="s">
        <v>55</v>
      </c>
      <c r="J7" t="s">
        <v>56</v>
      </c>
      <c r="K7" t="s">
        <v>49</v>
      </c>
      <c r="P7" t="s">
        <v>57</v>
      </c>
      <c r="X7" t="s">
        <v>58</v>
      </c>
      <c r="Y7" t="s">
        <v>59</v>
      </c>
      <c r="AB7" t="s">
        <v>60</v>
      </c>
      <c r="AE7" t="s">
        <v>61</v>
      </c>
    </row>
    <row r="8" spans="1:31" x14ac:dyDescent="0.2">
      <c r="A8" t="s">
        <v>62</v>
      </c>
      <c r="B8" s="2">
        <v>1</v>
      </c>
      <c r="C8" s="2">
        <f t="shared" si="0"/>
        <v>2</v>
      </c>
      <c r="D8" s="2">
        <f t="shared" si="1"/>
        <v>5</v>
      </c>
      <c r="E8" s="2">
        <f t="shared" si="2"/>
        <v>10</v>
      </c>
      <c r="F8" t="s">
        <v>63</v>
      </c>
      <c r="J8" t="s">
        <v>64</v>
      </c>
      <c r="K8" t="s">
        <v>49</v>
      </c>
      <c r="P8" t="s">
        <v>65</v>
      </c>
      <c r="X8" t="s">
        <v>58</v>
      </c>
      <c r="Y8" t="s">
        <v>59</v>
      </c>
      <c r="AB8" t="s">
        <v>60</v>
      </c>
      <c r="AE8" t="s">
        <v>66</v>
      </c>
    </row>
    <row r="9" spans="1:31" x14ac:dyDescent="0.2">
      <c r="A9" t="s">
        <v>67</v>
      </c>
      <c r="B9" s="2">
        <v>1</v>
      </c>
      <c r="C9" s="2">
        <f t="shared" si="0"/>
        <v>2</v>
      </c>
      <c r="D9" s="2">
        <f t="shared" si="1"/>
        <v>5</v>
      </c>
      <c r="E9" s="2">
        <f t="shared" si="2"/>
        <v>10</v>
      </c>
      <c r="F9" t="s">
        <v>68</v>
      </c>
      <c r="J9" t="s">
        <v>69</v>
      </c>
      <c r="K9" t="s">
        <v>49</v>
      </c>
      <c r="P9" t="s">
        <v>70</v>
      </c>
      <c r="X9" t="s">
        <v>58</v>
      </c>
      <c r="AE9" t="s">
        <v>71</v>
      </c>
    </row>
    <row r="10" spans="1:31" x14ac:dyDescent="0.2">
      <c r="A10" t="s">
        <v>72</v>
      </c>
      <c r="B10" s="2">
        <v>1</v>
      </c>
      <c r="C10" s="2">
        <f t="shared" si="0"/>
        <v>2</v>
      </c>
      <c r="D10" s="2">
        <f t="shared" si="1"/>
        <v>5</v>
      </c>
      <c r="E10" s="2">
        <f t="shared" si="2"/>
        <v>10</v>
      </c>
      <c r="F10" t="s">
        <v>73</v>
      </c>
      <c r="J10" t="s">
        <v>74</v>
      </c>
      <c r="K10" t="s">
        <v>49</v>
      </c>
      <c r="P10" t="s">
        <v>75</v>
      </c>
      <c r="X10" t="s">
        <v>58</v>
      </c>
      <c r="Y10" t="s">
        <v>59</v>
      </c>
      <c r="AB10" t="s">
        <v>60</v>
      </c>
      <c r="AE10" t="s">
        <v>76</v>
      </c>
    </row>
    <row r="11" spans="1:31" x14ac:dyDescent="0.2">
      <c r="A11" t="s">
        <v>77</v>
      </c>
      <c r="B11" s="2">
        <v>1</v>
      </c>
      <c r="C11" s="2">
        <f t="shared" si="0"/>
        <v>2</v>
      </c>
      <c r="D11" s="2">
        <f t="shared" si="1"/>
        <v>5</v>
      </c>
      <c r="E11" s="2">
        <f t="shared" si="2"/>
        <v>10</v>
      </c>
      <c r="F11" t="s">
        <v>78</v>
      </c>
      <c r="J11" t="s">
        <v>79</v>
      </c>
      <c r="K11" t="s">
        <v>49</v>
      </c>
      <c r="L11" t="s">
        <v>80</v>
      </c>
      <c r="P11" t="s">
        <v>81</v>
      </c>
      <c r="X11" t="s">
        <v>82</v>
      </c>
      <c r="Y11">
        <v>603</v>
      </c>
      <c r="AB11" t="s">
        <v>31</v>
      </c>
      <c r="AD11" t="s">
        <v>83</v>
      </c>
      <c r="AE11" t="s">
        <v>84</v>
      </c>
    </row>
    <row r="12" spans="1:31" x14ac:dyDescent="0.2">
      <c r="A12" t="s">
        <v>85</v>
      </c>
      <c r="B12" s="2">
        <v>2</v>
      </c>
      <c r="C12" s="2">
        <f t="shared" si="0"/>
        <v>4</v>
      </c>
      <c r="D12" s="2">
        <f t="shared" si="1"/>
        <v>10</v>
      </c>
      <c r="E12" s="2">
        <f t="shared" si="2"/>
        <v>20</v>
      </c>
      <c r="F12" t="s">
        <v>86</v>
      </c>
      <c r="J12" t="s">
        <v>87</v>
      </c>
      <c r="K12" t="s">
        <v>88</v>
      </c>
      <c r="P12" t="s">
        <v>89</v>
      </c>
      <c r="X12" t="s">
        <v>90</v>
      </c>
      <c r="Y12" t="s">
        <v>91</v>
      </c>
      <c r="AB12" t="s">
        <v>31</v>
      </c>
      <c r="AD12" t="s">
        <v>92</v>
      </c>
      <c r="AE12" t="s">
        <v>93</v>
      </c>
    </row>
    <row r="13" spans="1:31" x14ac:dyDescent="0.2">
      <c r="A13" t="s">
        <v>94</v>
      </c>
      <c r="B13" s="2">
        <v>9</v>
      </c>
      <c r="C13" s="2">
        <f t="shared" si="0"/>
        <v>18</v>
      </c>
      <c r="D13" s="2">
        <f t="shared" si="1"/>
        <v>45</v>
      </c>
      <c r="E13" s="2">
        <f t="shared" si="2"/>
        <v>90</v>
      </c>
      <c r="F13" t="s">
        <v>78</v>
      </c>
      <c r="J13" t="s">
        <v>79</v>
      </c>
      <c r="K13" t="s">
        <v>49</v>
      </c>
      <c r="L13" t="s">
        <v>95</v>
      </c>
      <c r="P13" t="s">
        <v>96</v>
      </c>
      <c r="X13" t="s">
        <v>97</v>
      </c>
      <c r="Y13">
        <v>603</v>
      </c>
      <c r="AB13" t="s">
        <v>31</v>
      </c>
      <c r="AD13" t="s">
        <v>98</v>
      </c>
      <c r="AE13" t="s">
        <v>84</v>
      </c>
    </row>
    <row r="14" spans="1:31" x14ac:dyDescent="0.2">
      <c r="A14" t="s">
        <v>99</v>
      </c>
      <c r="B14" s="2">
        <v>8</v>
      </c>
      <c r="C14" s="2">
        <f t="shared" si="0"/>
        <v>16</v>
      </c>
      <c r="D14" s="2">
        <f t="shared" si="1"/>
        <v>40</v>
      </c>
      <c r="E14" s="2">
        <f t="shared" si="2"/>
        <v>80</v>
      </c>
      <c r="F14" t="s">
        <v>78</v>
      </c>
      <c r="J14" t="s">
        <v>79</v>
      </c>
      <c r="K14" t="s">
        <v>49</v>
      </c>
      <c r="L14" t="s">
        <v>100</v>
      </c>
      <c r="P14" t="s">
        <v>101</v>
      </c>
      <c r="X14" t="s">
        <v>97</v>
      </c>
      <c r="Y14">
        <v>603</v>
      </c>
      <c r="AB14" t="s">
        <v>31</v>
      </c>
      <c r="AD14" t="s">
        <v>102</v>
      </c>
      <c r="AE14" t="s">
        <v>84</v>
      </c>
    </row>
    <row r="15" spans="1:31" x14ac:dyDescent="0.2">
      <c r="A15" t="s">
        <v>103</v>
      </c>
      <c r="B15" s="2">
        <v>1</v>
      </c>
      <c r="C15" s="2">
        <f t="shared" si="0"/>
        <v>2</v>
      </c>
      <c r="D15" s="2">
        <f t="shared" si="1"/>
        <v>5</v>
      </c>
      <c r="E15" s="2">
        <f t="shared" si="2"/>
        <v>10</v>
      </c>
      <c r="F15" t="s">
        <v>104</v>
      </c>
      <c r="J15" t="s">
        <v>105</v>
      </c>
      <c r="M15" t="s">
        <v>106</v>
      </c>
      <c r="N15" t="s">
        <v>107</v>
      </c>
      <c r="V15" t="s">
        <v>108</v>
      </c>
      <c r="W15" t="s">
        <v>104</v>
      </c>
      <c r="Y15" t="s">
        <v>109</v>
      </c>
      <c r="AE15" t="s">
        <v>106</v>
      </c>
    </row>
    <row r="16" spans="1:31" x14ac:dyDescent="0.2">
      <c r="A16" t="s">
        <v>110</v>
      </c>
      <c r="B16" s="2">
        <v>1</v>
      </c>
      <c r="C16" s="2">
        <f t="shared" si="0"/>
        <v>2</v>
      </c>
      <c r="D16" s="2">
        <f t="shared" si="1"/>
        <v>5</v>
      </c>
      <c r="E16" s="2">
        <f t="shared" si="2"/>
        <v>10</v>
      </c>
      <c r="F16">
        <v>1190299</v>
      </c>
      <c r="J16" t="s">
        <v>111</v>
      </c>
      <c r="K16" t="s">
        <v>112</v>
      </c>
      <c r="N16" t="s">
        <v>113</v>
      </c>
      <c r="P16" t="s">
        <v>114</v>
      </c>
      <c r="U16" t="s">
        <v>115</v>
      </c>
      <c r="X16" t="s">
        <v>116</v>
      </c>
      <c r="Y16" t="s">
        <v>117</v>
      </c>
      <c r="AB16" t="s">
        <v>60</v>
      </c>
      <c r="AE16" t="s">
        <v>118</v>
      </c>
    </row>
    <row r="17" spans="1:31" x14ac:dyDescent="0.2">
      <c r="A17" t="s">
        <v>119</v>
      </c>
      <c r="B17" s="2">
        <v>1</v>
      </c>
      <c r="C17" s="2">
        <f t="shared" si="0"/>
        <v>2</v>
      </c>
      <c r="D17" s="2">
        <f t="shared" si="1"/>
        <v>5</v>
      </c>
      <c r="E17" s="2">
        <f t="shared" si="2"/>
        <v>10</v>
      </c>
      <c r="F17" t="s">
        <v>120</v>
      </c>
      <c r="J17" t="s">
        <v>121</v>
      </c>
      <c r="K17" t="s">
        <v>49</v>
      </c>
      <c r="P17" t="s">
        <v>122</v>
      </c>
      <c r="X17" t="s">
        <v>123</v>
      </c>
      <c r="Y17" t="s">
        <v>124</v>
      </c>
      <c r="AB17" t="s">
        <v>60</v>
      </c>
      <c r="AE17" t="s">
        <v>125</v>
      </c>
    </row>
    <row r="18" spans="1:31" x14ac:dyDescent="0.2">
      <c r="A18" t="s">
        <v>126</v>
      </c>
      <c r="B18" s="2">
        <v>1</v>
      </c>
      <c r="C18" s="2">
        <f t="shared" si="0"/>
        <v>2</v>
      </c>
      <c r="D18" s="2">
        <f t="shared" si="1"/>
        <v>5</v>
      </c>
      <c r="E18" s="2">
        <f t="shared" si="2"/>
        <v>10</v>
      </c>
      <c r="F18" t="s">
        <v>127</v>
      </c>
      <c r="J18" t="s">
        <v>128</v>
      </c>
      <c r="K18" t="s">
        <v>49</v>
      </c>
      <c r="P18" t="s">
        <v>129</v>
      </c>
      <c r="X18" t="s">
        <v>58</v>
      </c>
      <c r="Y18" t="s">
        <v>59</v>
      </c>
      <c r="AB18" t="s">
        <v>60</v>
      </c>
      <c r="AD18" t="s">
        <v>130</v>
      </c>
      <c r="AE18" t="s">
        <v>131</v>
      </c>
    </row>
    <row r="19" spans="1:31" x14ac:dyDescent="0.2">
      <c r="A19" t="s">
        <v>132</v>
      </c>
      <c r="B19" s="2">
        <v>1</v>
      </c>
      <c r="C19" s="2">
        <f t="shared" si="0"/>
        <v>2</v>
      </c>
      <c r="D19" s="2">
        <f t="shared" si="1"/>
        <v>5</v>
      </c>
      <c r="E19" s="2">
        <f t="shared" si="2"/>
        <v>10</v>
      </c>
      <c r="F19" t="s">
        <v>133</v>
      </c>
      <c r="J19" t="s">
        <v>128</v>
      </c>
      <c r="K19" t="s">
        <v>49</v>
      </c>
      <c r="P19" t="s">
        <v>129</v>
      </c>
      <c r="X19" t="s">
        <v>58</v>
      </c>
      <c r="Y19" t="s">
        <v>59</v>
      </c>
      <c r="AB19" t="s">
        <v>60</v>
      </c>
      <c r="AD19" t="s">
        <v>130</v>
      </c>
      <c r="AE19" t="s">
        <v>131</v>
      </c>
    </row>
    <row r="20" spans="1:31" x14ac:dyDescent="0.2">
      <c r="A20" t="s">
        <v>134</v>
      </c>
      <c r="B20" s="2">
        <v>1</v>
      </c>
      <c r="C20" s="2">
        <f t="shared" si="0"/>
        <v>2</v>
      </c>
      <c r="D20" s="2">
        <f t="shared" si="1"/>
        <v>5</v>
      </c>
      <c r="E20" s="2">
        <f t="shared" si="2"/>
        <v>10</v>
      </c>
      <c r="F20" t="s">
        <v>135</v>
      </c>
      <c r="J20" t="s">
        <v>128</v>
      </c>
      <c r="K20" t="s">
        <v>49</v>
      </c>
      <c r="P20" t="s">
        <v>129</v>
      </c>
      <c r="X20" t="s">
        <v>58</v>
      </c>
      <c r="Y20" t="s">
        <v>59</v>
      </c>
      <c r="AB20" t="s">
        <v>60</v>
      </c>
      <c r="AD20" t="s">
        <v>130</v>
      </c>
      <c r="AE20" t="s">
        <v>131</v>
      </c>
    </row>
    <row r="21" spans="1:31" x14ac:dyDescent="0.2">
      <c r="A21" t="s">
        <v>136</v>
      </c>
      <c r="B21" s="2">
        <v>1</v>
      </c>
      <c r="C21" s="2">
        <f t="shared" si="0"/>
        <v>2</v>
      </c>
      <c r="D21" s="2">
        <f t="shared" si="1"/>
        <v>5</v>
      </c>
      <c r="E21" s="2">
        <f t="shared" si="2"/>
        <v>10</v>
      </c>
      <c r="F21" t="s">
        <v>137</v>
      </c>
      <c r="J21" t="s">
        <v>128</v>
      </c>
      <c r="K21" t="s">
        <v>49</v>
      </c>
      <c r="P21" t="s">
        <v>129</v>
      </c>
      <c r="X21" t="s">
        <v>58</v>
      </c>
      <c r="Y21" t="s">
        <v>59</v>
      </c>
      <c r="AB21" t="s">
        <v>60</v>
      </c>
      <c r="AD21" t="s">
        <v>130</v>
      </c>
      <c r="AE21" t="s">
        <v>131</v>
      </c>
    </row>
    <row r="22" spans="1:31" x14ac:dyDescent="0.2">
      <c r="A22" t="s">
        <v>138</v>
      </c>
      <c r="B22" s="2">
        <v>1</v>
      </c>
      <c r="C22" s="2">
        <f t="shared" si="0"/>
        <v>2</v>
      </c>
      <c r="D22" s="2">
        <f t="shared" si="1"/>
        <v>5</v>
      </c>
      <c r="E22" s="2">
        <f t="shared" si="2"/>
        <v>10</v>
      </c>
      <c r="F22" t="s">
        <v>139</v>
      </c>
      <c r="J22" t="s">
        <v>128</v>
      </c>
      <c r="K22" t="s">
        <v>49</v>
      </c>
      <c r="P22" t="s">
        <v>129</v>
      </c>
      <c r="X22" t="s">
        <v>58</v>
      </c>
      <c r="Y22" t="s">
        <v>59</v>
      </c>
      <c r="AB22" t="s">
        <v>60</v>
      </c>
      <c r="AD22" t="s">
        <v>130</v>
      </c>
      <c r="AE22" t="s">
        <v>131</v>
      </c>
    </row>
    <row r="23" spans="1:31" x14ac:dyDescent="0.2">
      <c r="A23" t="s">
        <v>140</v>
      </c>
      <c r="B23" s="2">
        <v>1</v>
      </c>
      <c r="C23" s="2">
        <f t="shared" si="0"/>
        <v>2</v>
      </c>
      <c r="D23" s="2">
        <f t="shared" si="1"/>
        <v>5</v>
      </c>
      <c r="E23" s="2">
        <f t="shared" si="2"/>
        <v>10</v>
      </c>
      <c r="F23" t="s">
        <v>141</v>
      </c>
      <c r="J23" t="s">
        <v>128</v>
      </c>
      <c r="K23" t="s">
        <v>49</v>
      </c>
      <c r="P23" t="s">
        <v>129</v>
      </c>
      <c r="X23" t="s">
        <v>58</v>
      </c>
      <c r="Y23" t="s">
        <v>59</v>
      </c>
      <c r="AB23" t="s">
        <v>60</v>
      </c>
      <c r="AD23" t="s">
        <v>130</v>
      </c>
      <c r="AE23" t="s">
        <v>131</v>
      </c>
    </row>
    <row r="24" spans="1:31" x14ac:dyDescent="0.2">
      <c r="A24" t="s">
        <v>142</v>
      </c>
      <c r="B24" s="2">
        <v>1</v>
      </c>
      <c r="C24" s="2">
        <f t="shared" si="0"/>
        <v>2</v>
      </c>
      <c r="D24" s="2">
        <f t="shared" si="1"/>
        <v>5</v>
      </c>
      <c r="E24" s="2">
        <f t="shared" si="2"/>
        <v>10</v>
      </c>
      <c r="F24" t="s">
        <v>143</v>
      </c>
      <c r="J24" t="s">
        <v>128</v>
      </c>
      <c r="K24" t="s">
        <v>49</v>
      </c>
      <c r="P24" t="s">
        <v>129</v>
      </c>
      <c r="X24" t="s">
        <v>58</v>
      </c>
      <c r="Y24" t="s">
        <v>59</v>
      </c>
      <c r="AB24" t="s">
        <v>60</v>
      </c>
      <c r="AD24" t="s">
        <v>130</v>
      </c>
      <c r="AE24" t="s">
        <v>131</v>
      </c>
    </row>
    <row r="25" spans="1:31" x14ac:dyDescent="0.2">
      <c r="A25" t="s">
        <v>144</v>
      </c>
      <c r="B25" s="2">
        <v>1</v>
      </c>
      <c r="C25" s="2">
        <f t="shared" si="0"/>
        <v>2</v>
      </c>
      <c r="D25" s="2">
        <f t="shared" si="1"/>
        <v>5</v>
      </c>
      <c r="E25" s="2">
        <f t="shared" si="2"/>
        <v>10</v>
      </c>
      <c r="F25" t="s">
        <v>145</v>
      </c>
      <c r="J25" t="s">
        <v>128</v>
      </c>
      <c r="K25" t="s">
        <v>49</v>
      </c>
      <c r="P25" t="s">
        <v>129</v>
      </c>
      <c r="X25" t="s">
        <v>58</v>
      </c>
      <c r="Y25" t="s">
        <v>59</v>
      </c>
      <c r="AB25" t="s">
        <v>60</v>
      </c>
      <c r="AD25" t="s">
        <v>130</v>
      </c>
      <c r="AE25" t="s">
        <v>131</v>
      </c>
    </row>
    <row r="26" spans="1:31" x14ac:dyDescent="0.2">
      <c r="A26" t="s">
        <v>146</v>
      </c>
      <c r="B26" s="2">
        <v>1</v>
      </c>
      <c r="C26" s="2">
        <f t="shared" si="0"/>
        <v>2</v>
      </c>
      <c r="D26" s="2">
        <f t="shared" si="1"/>
        <v>5</v>
      </c>
      <c r="E26" s="2">
        <f t="shared" si="2"/>
        <v>10</v>
      </c>
      <c r="F26" t="s">
        <v>147</v>
      </c>
      <c r="J26" t="s">
        <v>128</v>
      </c>
      <c r="K26" t="s">
        <v>49</v>
      </c>
      <c r="P26" t="s">
        <v>129</v>
      </c>
      <c r="X26" t="s">
        <v>58</v>
      </c>
      <c r="Y26" t="s">
        <v>59</v>
      </c>
      <c r="AB26" t="s">
        <v>60</v>
      </c>
      <c r="AD26" t="s">
        <v>130</v>
      </c>
      <c r="AE26" t="s">
        <v>131</v>
      </c>
    </row>
    <row r="27" spans="1:31" x14ac:dyDescent="0.2">
      <c r="A27" t="s">
        <v>148</v>
      </c>
      <c r="B27" s="2">
        <v>1</v>
      </c>
      <c r="C27" s="2">
        <f t="shared" si="0"/>
        <v>2</v>
      </c>
      <c r="D27" s="2">
        <f t="shared" si="1"/>
        <v>5</v>
      </c>
      <c r="E27" s="2">
        <f t="shared" si="2"/>
        <v>10</v>
      </c>
      <c r="F27" t="s">
        <v>149</v>
      </c>
      <c r="J27" t="s">
        <v>128</v>
      </c>
      <c r="K27" t="s">
        <v>49</v>
      </c>
      <c r="P27" t="s">
        <v>129</v>
      </c>
      <c r="X27" t="s">
        <v>58</v>
      </c>
      <c r="Y27" t="s">
        <v>59</v>
      </c>
      <c r="AB27" t="s">
        <v>60</v>
      </c>
      <c r="AD27" t="s">
        <v>130</v>
      </c>
      <c r="AE27" t="s">
        <v>131</v>
      </c>
    </row>
    <row r="28" spans="1:31" x14ac:dyDescent="0.2">
      <c r="A28" t="s">
        <v>150</v>
      </c>
      <c r="B28" s="2">
        <v>1</v>
      </c>
      <c r="C28" s="2">
        <f t="shared" si="0"/>
        <v>2</v>
      </c>
      <c r="D28" s="2">
        <f t="shared" si="1"/>
        <v>5</v>
      </c>
      <c r="E28" s="2">
        <f t="shared" si="2"/>
        <v>10</v>
      </c>
      <c r="F28" t="s">
        <v>151</v>
      </c>
      <c r="J28" t="s">
        <v>128</v>
      </c>
      <c r="K28" t="s">
        <v>49</v>
      </c>
      <c r="P28" t="s">
        <v>129</v>
      </c>
      <c r="X28" t="s">
        <v>58</v>
      </c>
      <c r="Y28" t="s">
        <v>59</v>
      </c>
      <c r="AB28" t="s">
        <v>60</v>
      </c>
      <c r="AD28" t="s">
        <v>130</v>
      </c>
      <c r="AE28" t="s">
        <v>131</v>
      </c>
    </row>
    <row r="29" spans="1:31" x14ac:dyDescent="0.2">
      <c r="A29" t="s">
        <v>152</v>
      </c>
      <c r="B29" s="2">
        <v>1</v>
      </c>
      <c r="C29" s="2">
        <f t="shared" si="0"/>
        <v>2</v>
      </c>
      <c r="D29" s="2">
        <f t="shared" si="1"/>
        <v>5</v>
      </c>
      <c r="E29" s="2">
        <f t="shared" si="2"/>
        <v>10</v>
      </c>
      <c r="F29" t="s">
        <v>153</v>
      </c>
      <c r="J29" t="s">
        <v>128</v>
      </c>
      <c r="K29" t="s">
        <v>49</v>
      </c>
      <c r="P29" t="s">
        <v>129</v>
      </c>
      <c r="X29" t="s">
        <v>58</v>
      </c>
      <c r="Y29" t="s">
        <v>59</v>
      </c>
      <c r="AB29" t="s">
        <v>60</v>
      </c>
      <c r="AD29" t="s">
        <v>130</v>
      </c>
      <c r="AE29" t="s">
        <v>131</v>
      </c>
    </row>
    <row r="30" spans="1:31" x14ac:dyDescent="0.2">
      <c r="A30" t="s">
        <v>154</v>
      </c>
      <c r="B30" s="2">
        <v>1</v>
      </c>
      <c r="C30" s="2">
        <f t="shared" si="0"/>
        <v>2</v>
      </c>
      <c r="D30" s="2">
        <f t="shared" si="1"/>
        <v>5</v>
      </c>
      <c r="E30" s="2">
        <f t="shared" si="2"/>
        <v>10</v>
      </c>
      <c r="F30" t="s">
        <v>155</v>
      </c>
      <c r="J30" t="s">
        <v>128</v>
      </c>
      <c r="K30" t="s">
        <v>49</v>
      </c>
      <c r="P30" t="s">
        <v>129</v>
      </c>
      <c r="X30" t="s">
        <v>58</v>
      </c>
      <c r="Y30" t="s">
        <v>59</v>
      </c>
      <c r="AB30" t="s">
        <v>60</v>
      </c>
      <c r="AD30" t="s">
        <v>130</v>
      </c>
      <c r="AE30" t="s">
        <v>131</v>
      </c>
    </row>
    <row r="31" spans="1:31" x14ac:dyDescent="0.2">
      <c r="A31" t="s">
        <v>156</v>
      </c>
      <c r="B31" s="2">
        <v>1</v>
      </c>
      <c r="C31" s="2">
        <f t="shared" si="0"/>
        <v>2</v>
      </c>
      <c r="D31" s="2">
        <f t="shared" si="1"/>
        <v>5</v>
      </c>
      <c r="E31" s="2">
        <f t="shared" si="2"/>
        <v>10</v>
      </c>
      <c r="F31" t="s">
        <v>157</v>
      </c>
      <c r="J31" t="s">
        <v>158</v>
      </c>
      <c r="K31" t="s">
        <v>49</v>
      </c>
      <c r="P31" t="s">
        <v>159</v>
      </c>
      <c r="X31" t="s">
        <v>30</v>
      </c>
      <c r="Y31">
        <v>603</v>
      </c>
      <c r="AB31" t="s">
        <v>31</v>
      </c>
      <c r="AD31" t="s">
        <v>160</v>
      </c>
      <c r="AE31" t="s">
        <v>161</v>
      </c>
    </row>
    <row r="32" spans="1:31" x14ac:dyDescent="0.2">
      <c r="A32" t="s">
        <v>162</v>
      </c>
      <c r="B32" s="2">
        <v>11</v>
      </c>
      <c r="C32" s="2">
        <f t="shared" si="0"/>
        <v>22</v>
      </c>
      <c r="D32" s="2">
        <f t="shared" si="1"/>
        <v>55</v>
      </c>
      <c r="E32" s="2">
        <f t="shared" si="2"/>
        <v>110</v>
      </c>
      <c r="F32" t="s">
        <v>163</v>
      </c>
      <c r="J32" t="s">
        <v>158</v>
      </c>
      <c r="K32" t="s">
        <v>49</v>
      </c>
      <c r="P32" t="s">
        <v>164</v>
      </c>
      <c r="X32" t="s">
        <v>30</v>
      </c>
      <c r="Y32">
        <v>603</v>
      </c>
      <c r="AB32" t="s">
        <v>31</v>
      </c>
      <c r="AD32" t="s">
        <v>160</v>
      </c>
      <c r="AE32" t="s">
        <v>161</v>
      </c>
    </row>
    <row r="33" spans="1:31" x14ac:dyDescent="0.2">
      <c r="A33" t="s">
        <v>165</v>
      </c>
      <c r="B33" s="2">
        <v>4</v>
      </c>
      <c r="C33" s="2">
        <f t="shared" si="0"/>
        <v>8</v>
      </c>
      <c r="D33" s="2">
        <f t="shared" si="1"/>
        <v>20</v>
      </c>
      <c r="E33" s="2">
        <f t="shared" si="2"/>
        <v>40</v>
      </c>
      <c r="F33" t="s">
        <v>166</v>
      </c>
      <c r="J33" t="s">
        <v>158</v>
      </c>
      <c r="K33" t="s">
        <v>49</v>
      </c>
      <c r="P33" t="s">
        <v>167</v>
      </c>
      <c r="X33" t="s">
        <v>168</v>
      </c>
      <c r="Y33">
        <v>603</v>
      </c>
      <c r="AB33" t="s">
        <v>31</v>
      </c>
      <c r="AD33" t="s">
        <v>169</v>
      </c>
      <c r="AE33" t="s">
        <v>161</v>
      </c>
    </row>
    <row r="34" spans="1:31" x14ac:dyDescent="0.2">
      <c r="A34" t="s">
        <v>170</v>
      </c>
      <c r="B34" s="2">
        <v>10</v>
      </c>
      <c r="C34" s="2">
        <f t="shared" si="0"/>
        <v>20</v>
      </c>
      <c r="D34" s="2">
        <f t="shared" si="1"/>
        <v>50</v>
      </c>
      <c r="E34" s="2">
        <f t="shared" si="2"/>
        <v>100</v>
      </c>
      <c r="F34" t="s">
        <v>171</v>
      </c>
      <c r="J34" t="s">
        <v>158</v>
      </c>
      <c r="K34" t="s">
        <v>49</v>
      </c>
      <c r="P34" t="s">
        <v>172</v>
      </c>
      <c r="X34" t="s">
        <v>30</v>
      </c>
      <c r="Y34">
        <v>603</v>
      </c>
      <c r="AB34" t="s">
        <v>31</v>
      </c>
      <c r="AD34" t="s">
        <v>160</v>
      </c>
      <c r="AE34" t="s">
        <v>161</v>
      </c>
    </row>
    <row r="35" spans="1:31" x14ac:dyDescent="0.2">
      <c r="A35" t="s">
        <v>173</v>
      </c>
      <c r="B35" s="2">
        <v>10</v>
      </c>
      <c r="C35" s="2">
        <f t="shared" si="0"/>
        <v>20</v>
      </c>
      <c r="D35" s="2">
        <f t="shared" si="1"/>
        <v>50</v>
      </c>
      <c r="E35" s="2">
        <f t="shared" si="2"/>
        <v>100</v>
      </c>
      <c r="F35" t="s">
        <v>174</v>
      </c>
      <c r="J35" t="s">
        <v>158</v>
      </c>
      <c r="K35" t="s">
        <v>49</v>
      </c>
      <c r="P35" t="s">
        <v>175</v>
      </c>
      <c r="X35" t="s">
        <v>30</v>
      </c>
      <c r="Y35">
        <v>603</v>
      </c>
      <c r="AB35" t="s">
        <v>31</v>
      </c>
      <c r="AD35" t="s">
        <v>160</v>
      </c>
      <c r="AE35" t="s">
        <v>161</v>
      </c>
    </row>
    <row r="36" spans="1:31" x14ac:dyDescent="0.2">
      <c r="A36" t="s">
        <v>176</v>
      </c>
      <c r="B36" s="2">
        <v>17</v>
      </c>
      <c r="C36" s="2">
        <f t="shared" si="0"/>
        <v>34</v>
      </c>
      <c r="D36" s="2">
        <f t="shared" si="1"/>
        <v>85</v>
      </c>
      <c r="E36" s="2">
        <f t="shared" si="2"/>
        <v>170</v>
      </c>
      <c r="F36" t="s">
        <v>177</v>
      </c>
      <c r="J36" t="s">
        <v>158</v>
      </c>
      <c r="K36" t="s">
        <v>49</v>
      </c>
      <c r="P36" t="s">
        <v>178</v>
      </c>
      <c r="X36" t="s">
        <v>30</v>
      </c>
      <c r="Y36">
        <v>603</v>
      </c>
      <c r="AB36" t="s">
        <v>31</v>
      </c>
      <c r="AD36" t="s">
        <v>160</v>
      </c>
      <c r="AE36" t="s">
        <v>161</v>
      </c>
    </row>
    <row r="37" spans="1:31" x14ac:dyDescent="0.2">
      <c r="A37" t="s">
        <v>179</v>
      </c>
      <c r="B37" s="2">
        <v>2</v>
      </c>
      <c r="C37" s="2">
        <f t="shared" si="0"/>
        <v>4</v>
      </c>
      <c r="D37" s="2">
        <f t="shared" si="1"/>
        <v>10</v>
      </c>
      <c r="E37" s="2">
        <f t="shared" si="2"/>
        <v>20</v>
      </c>
      <c r="F37" t="s">
        <v>180</v>
      </c>
      <c r="J37" t="s">
        <v>158</v>
      </c>
      <c r="K37" t="s">
        <v>49</v>
      </c>
      <c r="P37" t="s">
        <v>175</v>
      </c>
      <c r="X37" t="s">
        <v>30</v>
      </c>
      <c r="Y37">
        <v>603</v>
      </c>
      <c r="AB37" t="s">
        <v>31</v>
      </c>
      <c r="AD37" t="s">
        <v>160</v>
      </c>
      <c r="AE37" t="s">
        <v>161</v>
      </c>
    </row>
    <row r="38" spans="1:31" x14ac:dyDescent="0.2">
      <c r="A38" t="s">
        <v>181</v>
      </c>
      <c r="B38" s="2">
        <v>2</v>
      </c>
      <c r="C38" s="2">
        <f t="shared" si="0"/>
        <v>4</v>
      </c>
      <c r="D38" s="2">
        <f t="shared" si="1"/>
        <v>10</v>
      </c>
      <c r="E38" s="2">
        <f t="shared" si="2"/>
        <v>20</v>
      </c>
      <c r="F38" t="s">
        <v>182</v>
      </c>
      <c r="J38" t="s">
        <v>158</v>
      </c>
      <c r="K38" t="s">
        <v>49</v>
      </c>
      <c r="P38" t="s">
        <v>159</v>
      </c>
      <c r="X38" t="s">
        <v>30</v>
      </c>
      <c r="Y38">
        <v>603</v>
      </c>
      <c r="AB38" t="s">
        <v>31</v>
      </c>
      <c r="AD38" t="s">
        <v>160</v>
      </c>
      <c r="AE38" t="s">
        <v>161</v>
      </c>
    </row>
    <row r="39" spans="1:31" x14ac:dyDescent="0.2">
      <c r="A39" t="s">
        <v>183</v>
      </c>
      <c r="B39" s="2">
        <v>9</v>
      </c>
      <c r="C39" s="2">
        <f t="shared" si="0"/>
        <v>18</v>
      </c>
      <c r="D39" s="2">
        <f t="shared" si="1"/>
        <v>45</v>
      </c>
      <c r="E39" s="2">
        <f t="shared" si="2"/>
        <v>90</v>
      </c>
      <c r="F39" t="s">
        <v>184</v>
      </c>
      <c r="J39" t="s">
        <v>158</v>
      </c>
      <c r="K39" t="s">
        <v>49</v>
      </c>
      <c r="P39" t="s">
        <v>185</v>
      </c>
      <c r="X39" t="s">
        <v>30</v>
      </c>
      <c r="Y39" t="s">
        <v>186</v>
      </c>
      <c r="AB39" t="s">
        <v>31</v>
      </c>
      <c r="AD39" t="s">
        <v>160</v>
      </c>
      <c r="AE39" t="s">
        <v>161</v>
      </c>
    </row>
    <row r="40" spans="1:31" x14ac:dyDescent="0.2">
      <c r="A40" t="s">
        <v>187</v>
      </c>
      <c r="B40" s="2">
        <v>8</v>
      </c>
      <c r="C40" s="2">
        <f t="shared" si="0"/>
        <v>16</v>
      </c>
      <c r="D40" s="2">
        <f t="shared" si="1"/>
        <v>40</v>
      </c>
      <c r="E40" s="2">
        <f t="shared" si="2"/>
        <v>80</v>
      </c>
      <c r="F40" t="s">
        <v>188</v>
      </c>
      <c r="J40" t="s">
        <v>158</v>
      </c>
      <c r="K40" t="s">
        <v>49</v>
      </c>
      <c r="P40" t="s">
        <v>189</v>
      </c>
      <c r="X40" t="s">
        <v>30</v>
      </c>
      <c r="Y40">
        <v>603</v>
      </c>
      <c r="AB40" t="s">
        <v>31</v>
      </c>
      <c r="AD40" t="s">
        <v>160</v>
      </c>
      <c r="AE40" t="s">
        <v>161</v>
      </c>
    </row>
    <row r="41" spans="1:31" x14ac:dyDescent="0.2">
      <c r="A41" t="s">
        <v>190</v>
      </c>
      <c r="B41" s="2">
        <v>5</v>
      </c>
      <c r="C41" s="2">
        <f t="shared" si="0"/>
        <v>10</v>
      </c>
      <c r="D41" s="2">
        <f t="shared" si="1"/>
        <v>25</v>
      </c>
      <c r="E41" s="2">
        <f t="shared" si="2"/>
        <v>50</v>
      </c>
      <c r="F41" t="s">
        <v>191</v>
      </c>
      <c r="J41" t="s">
        <v>192</v>
      </c>
      <c r="N41" t="s">
        <v>193</v>
      </c>
      <c r="U41" t="s">
        <v>194</v>
      </c>
      <c r="Y41" t="s">
        <v>195</v>
      </c>
    </row>
    <row r="42" spans="1:31" x14ac:dyDescent="0.2">
      <c r="A42" t="s">
        <v>196</v>
      </c>
      <c r="B42" s="2">
        <v>1</v>
      </c>
      <c r="C42" s="2">
        <f t="shared" si="0"/>
        <v>2</v>
      </c>
      <c r="D42" s="2">
        <f t="shared" si="1"/>
        <v>5</v>
      </c>
      <c r="E42" s="2">
        <f t="shared" si="2"/>
        <v>10</v>
      </c>
      <c r="F42" t="s">
        <v>197</v>
      </c>
      <c r="J42" t="s">
        <v>198</v>
      </c>
      <c r="N42" t="s">
        <v>199</v>
      </c>
      <c r="U42" t="s">
        <v>194</v>
      </c>
      <c r="Y42" t="s">
        <v>195</v>
      </c>
    </row>
    <row r="43" spans="1:31" x14ac:dyDescent="0.2">
      <c r="A43" t="s">
        <v>200</v>
      </c>
      <c r="B43" s="2">
        <v>1</v>
      </c>
      <c r="C43" s="2">
        <f t="shared" si="0"/>
        <v>2</v>
      </c>
      <c r="D43" s="2">
        <f t="shared" si="1"/>
        <v>5</v>
      </c>
      <c r="E43" s="2">
        <f t="shared" si="2"/>
        <v>10</v>
      </c>
      <c r="F43" t="s">
        <v>201</v>
      </c>
      <c r="J43" t="s">
        <v>198</v>
      </c>
      <c r="N43" t="s">
        <v>199</v>
      </c>
      <c r="U43" t="s">
        <v>194</v>
      </c>
      <c r="Y43" t="s">
        <v>195</v>
      </c>
    </row>
    <row r="44" spans="1:31" x14ac:dyDescent="0.2">
      <c r="A44" t="s">
        <v>202</v>
      </c>
      <c r="B44" s="2">
        <v>1</v>
      </c>
      <c r="C44" s="2">
        <f t="shared" si="0"/>
        <v>2</v>
      </c>
      <c r="D44" s="2">
        <f t="shared" si="1"/>
        <v>5</v>
      </c>
      <c r="E44" s="2">
        <f t="shared" si="2"/>
        <v>10</v>
      </c>
      <c r="F44" t="s">
        <v>203</v>
      </c>
      <c r="J44" t="s">
        <v>198</v>
      </c>
      <c r="N44" t="s">
        <v>199</v>
      </c>
      <c r="U44" t="s">
        <v>194</v>
      </c>
      <c r="Y44" t="s">
        <v>195</v>
      </c>
    </row>
    <row r="45" spans="1:31" x14ac:dyDescent="0.2">
      <c r="A45" t="s">
        <v>204</v>
      </c>
      <c r="B45" s="2">
        <v>1</v>
      </c>
      <c r="C45" s="2">
        <f t="shared" si="0"/>
        <v>2</v>
      </c>
      <c r="D45" s="2">
        <f t="shared" si="1"/>
        <v>5</v>
      </c>
      <c r="E45" s="2">
        <f t="shared" si="2"/>
        <v>10</v>
      </c>
      <c r="F45" t="s">
        <v>205</v>
      </c>
      <c r="J45" t="s">
        <v>198</v>
      </c>
      <c r="N45" t="s">
        <v>199</v>
      </c>
      <c r="U45" t="s">
        <v>194</v>
      </c>
      <c r="Y45" t="s">
        <v>195</v>
      </c>
    </row>
    <row r="46" spans="1:31" x14ac:dyDescent="0.2">
      <c r="A46" t="s">
        <v>206</v>
      </c>
      <c r="B46" s="2">
        <v>1</v>
      </c>
      <c r="C46" s="2">
        <f t="shared" si="0"/>
        <v>2</v>
      </c>
      <c r="D46" s="2">
        <f t="shared" si="1"/>
        <v>5</v>
      </c>
      <c r="E46" s="2">
        <f t="shared" si="2"/>
        <v>10</v>
      </c>
      <c r="F46" t="s">
        <v>90</v>
      </c>
      <c r="J46" t="s">
        <v>207</v>
      </c>
      <c r="N46" t="s">
        <v>208</v>
      </c>
      <c r="U46" t="s">
        <v>194</v>
      </c>
      <c r="Y46" t="s">
        <v>195</v>
      </c>
    </row>
    <row r="47" spans="1:31" x14ac:dyDescent="0.2">
      <c r="A47" t="s">
        <v>209</v>
      </c>
      <c r="B47" s="2">
        <v>1</v>
      </c>
      <c r="C47" s="2">
        <f t="shared" si="0"/>
        <v>2</v>
      </c>
      <c r="D47" s="2">
        <f t="shared" si="1"/>
        <v>5</v>
      </c>
      <c r="E47" s="2">
        <f t="shared" si="2"/>
        <v>10</v>
      </c>
      <c r="F47" t="s">
        <v>210</v>
      </c>
      <c r="J47" t="s">
        <v>198</v>
      </c>
      <c r="N47" t="s">
        <v>199</v>
      </c>
      <c r="U47" t="s">
        <v>194</v>
      </c>
      <c r="Y47" t="s">
        <v>195</v>
      </c>
    </row>
    <row r="48" spans="1:31" x14ac:dyDescent="0.2">
      <c r="A48" t="s">
        <v>211</v>
      </c>
      <c r="B48" s="2">
        <v>1</v>
      </c>
      <c r="C48" s="2">
        <f t="shared" si="0"/>
        <v>2</v>
      </c>
      <c r="D48" s="2">
        <f t="shared" si="1"/>
        <v>5</v>
      </c>
      <c r="E48" s="2">
        <f t="shared" si="2"/>
        <v>10</v>
      </c>
      <c r="F48" t="s">
        <v>212</v>
      </c>
      <c r="J48" t="s">
        <v>213</v>
      </c>
      <c r="N48" t="s">
        <v>214</v>
      </c>
      <c r="U48" t="s">
        <v>194</v>
      </c>
      <c r="Y48" t="s">
        <v>195</v>
      </c>
    </row>
    <row r="49" spans="1:25" x14ac:dyDescent="0.2">
      <c r="A49" t="s">
        <v>215</v>
      </c>
      <c r="B49" s="2">
        <v>1</v>
      </c>
      <c r="C49" s="2">
        <f t="shared" si="0"/>
        <v>2</v>
      </c>
      <c r="D49" s="2">
        <f t="shared" si="1"/>
        <v>5</v>
      </c>
      <c r="E49" s="2">
        <f t="shared" si="2"/>
        <v>10</v>
      </c>
      <c r="F49" t="s">
        <v>216</v>
      </c>
      <c r="J49" t="s">
        <v>213</v>
      </c>
      <c r="N49" t="s">
        <v>214</v>
      </c>
      <c r="U49" t="s">
        <v>194</v>
      </c>
      <c r="Y49" t="s">
        <v>195</v>
      </c>
    </row>
    <row r="50" spans="1:25" x14ac:dyDescent="0.2">
      <c r="A50" t="s">
        <v>217</v>
      </c>
      <c r="B50" s="2">
        <v>1</v>
      </c>
      <c r="C50" s="2">
        <f t="shared" si="0"/>
        <v>2</v>
      </c>
      <c r="D50" s="2">
        <f t="shared" si="1"/>
        <v>5</v>
      </c>
      <c r="E50" s="2">
        <f t="shared" si="2"/>
        <v>10</v>
      </c>
      <c r="F50" t="s">
        <v>218</v>
      </c>
      <c r="J50" t="s">
        <v>219</v>
      </c>
      <c r="N50" t="s">
        <v>220</v>
      </c>
      <c r="U50" t="s">
        <v>194</v>
      </c>
      <c r="Y50" t="s">
        <v>195</v>
      </c>
    </row>
    <row r="51" spans="1:25" x14ac:dyDescent="0.2">
      <c r="A51" t="s">
        <v>221</v>
      </c>
      <c r="B51" s="2">
        <v>1</v>
      </c>
      <c r="C51" s="2">
        <f t="shared" si="0"/>
        <v>2</v>
      </c>
      <c r="D51" s="2">
        <f t="shared" si="1"/>
        <v>5</v>
      </c>
      <c r="E51" s="2">
        <f t="shared" si="2"/>
        <v>10</v>
      </c>
      <c r="F51" t="s">
        <v>222</v>
      </c>
      <c r="J51" t="s">
        <v>219</v>
      </c>
      <c r="N51" t="s">
        <v>220</v>
      </c>
      <c r="U51" t="s">
        <v>194</v>
      </c>
      <c r="Y51" t="s">
        <v>195</v>
      </c>
    </row>
    <row r="52" spans="1:25" x14ac:dyDescent="0.2">
      <c r="A52" t="s">
        <v>223</v>
      </c>
      <c r="B52" s="2">
        <v>2</v>
      </c>
      <c r="C52" s="2">
        <f t="shared" si="0"/>
        <v>4</v>
      </c>
      <c r="D52" s="2">
        <f t="shared" si="1"/>
        <v>10</v>
      </c>
      <c r="E52" s="2">
        <f t="shared" si="2"/>
        <v>20</v>
      </c>
      <c r="F52" t="s">
        <v>224</v>
      </c>
      <c r="J52" t="s">
        <v>213</v>
      </c>
      <c r="N52" t="s">
        <v>214</v>
      </c>
      <c r="U52" t="s">
        <v>194</v>
      </c>
      <c r="Y52" t="s">
        <v>195</v>
      </c>
    </row>
    <row r="53" spans="1:25" x14ac:dyDescent="0.2">
      <c r="A53" t="s">
        <v>225</v>
      </c>
      <c r="B53" s="2">
        <v>2</v>
      </c>
      <c r="C53" s="2">
        <f t="shared" si="0"/>
        <v>4</v>
      </c>
      <c r="D53" s="2">
        <f t="shared" si="1"/>
        <v>10</v>
      </c>
      <c r="E53" s="2">
        <f t="shared" si="2"/>
        <v>20</v>
      </c>
      <c r="F53" t="s">
        <v>226</v>
      </c>
      <c r="J53" t="s">
        <v>213</v>
      </c>
      <c r="N53" t="s">
        <v>214</v>
      </c>
      <c r="U53" t="s">
        <v>194</v>
      </c>
      <c r="Y53" t="s">
        <v>195</v>
      </c>
    </row>
    <row r="54" spans="1:25" x14ac:dyDescent="0.2">
      <c r="A54" t="s">
        <v>227</v>
      </c>
      <c r="B54" s="2">
        <v>1</v>
      </c>
      <c r="C54" s="2">
        <f t="shared" si="0"/>
        <v>2</v>
      </c>
      <c r="D54" s="2">
        <f t="shared" si="1"/>
        <v>5</v>
      </c>
      <c r="E54" s="2">
        <f t="shared" si="2"/>
        <v>10</v>
      </c>
      <c r="F54" t="s">
        <v>228</v>
      </c>
      <c r="J54" t="s">
        <v>213</v>
      </c>
      <c r="N54" t="s">
        <v>214</v>
      </c>
      <c r="U54" t="s">
        <v>194</v>
      </c>
      <c r="Y54" t="s">
        <v>195</v>
      </c>
    </row>
    <row r="55" spans="1:25" x14ac:dyDescent="0.2">
      <c r="A55" t="s">
        <v>229</v>
      </c>
      <c r="B55" s="2">
        <v>1</v>
      </c>
      <c r="C55" s="2">
        <f t="shared" si="0"/>
        <v>2</v>
      </c>
      <c r="D55" s="2">
        <f t="shared" si="1"/>
        <v>5</v>
      </c>
      <c r="E55" s="2">
        <f t="shared" si="2"/>
        <v>10</v>
      </c>
      <c r="F55" t="s">
        <v>230</v>
      </c>
      <c r="J55" t="s">
        <v>213</v>
      </c>
      <c r="N55" t="s">
        <v>214</v>
      </c>
      <c r="U55" t="s">
        <v>194</v>
      </c>
      <c r="Y55" t="s">
        <v>195</v>
      </c>
    </row>
    <row r="56" spans="1:25" x14ac:dyDescent="0.2">
      <c r="A56" t="s">
        <v>231</v>
      </c>
      <c r="B56" s="2">
        <v>1</v>
      </c>
      <c r="C56" s="2">
        <f t="shared" si="0"/>
        <v>2</v>
      </c>
      <c r="D56" s="2">
        <f t="shared" si="1"/>
        <v>5</v>
      </c>
      <c r="E56" s="2">
        <f t="shared" si="2"/>
        <v>10</v>
      </c>
      <c r="F56" t="s">
        <v>232</v>
      </c>
      <c r="J56" t="s">
        <v>213</v>
      </c>
      <c r="N56" t="s">
        <v>214</v>
      </c>
      <c r="U56" t="s">
        <v>194</v>
      </c>
      <c r="Y56" t="s">
        <v>195</v>
      </c>
    </row>
    <row r="57" spans="1:25" x14ac:dyDescent="0.2">
      <c r="A57" t="s">
        <v>233</v>
      </c>
      <c r="B57" s="2">
        <v>1</v>
      </c>
      <c r="C57" s="2">
        <f t="shared" si="0"/>
        <v>2</v>
      </c>
      <c r="D57" s="2">
        <f t="shared" si="1"/>
        <v>5</v>
      </c>
      <c r="E57" s="2">
        <f t="shared" si="2"/>
        <v>10</v>
      </c>
      <c r="F57" t="s">
        <v>234</v>
      </c>
      <c r="J57" t="s">
        <v>213</v>
      </c>
      <c r="N57" t="s">
        <v>214</v>
      </c>
      <c r="U57" t="s">
        <v>194</v>
      </c>
      <c r="Y57" t="s">
        <v>195</v>
      </c>
    </row>
    <row r="58" spans="1:25" x14ac:dyDescent="0.2">
      <c r="A58" t="s">
        <v>235</v>
      </c>
      <c r="B58" s="2">
        <v>1</v>
      </c>
      <c r="C58" s="2">
        <f t="shared" si="0"/>
        <v>2</v>
      </c>
      <c r="D58" s="2">
        <f t="shared" si="1"/>
        <v>5</v>
      </c>
      <c r="E58" s="2">
        <f t="shared" si="2"/>
        <v>10</v>
      </c>
      <c r="F58" t="s">
        <v>236</v>
      </c>
      <c r="J58" t="s">
        <v>213</v>
      </c>
      <c r="N58" t="s">
        <v>214</v>
      </c>
      <c r="U58" t="s">
        <v>194</v>
      </c>
      <c r="Y58" t="s">
        <v>195</v>
      </c>
    </row>
    <row r="59" spans="1:25" x14ac:dyDescent="0.2">
      <c r="A59" t="s">
        <v>237</v>
      </c>
      <c r="B59" s="2">
        <v>1</v>
      </c>
      <c r="C59" s="2">
        <f t="shared" si="0"/>
        <v>2</v>
      </c>
      <c r="D59" s="2">
        <f t="shared" si="1"/>
        <v>5</v>
      </c>
      <c r="E59" s="2">
        <f t="shared" si="2"/>
        <v>10</v>
      </c>
      <c r="F59" t="s">
        <v>238</v>
      </c>
      <c r="J59" t="s">
        <v>213</v>
      </c>
      <c r="N59" t="s">
        <v>214</v>
      </c>
      <c r="U59" t="s">
        <v>194</v>
      </c>
      <c r="Y59" t="s">
        <v>195</v>
      </c>
    </row>
    <row r="60" spans="1:25" x14ac:dyDescent="0.2">
      <c r="A60" t="s">
        <v>239</v>
      </c>
      <c r="B60" s="2">
        <v>1</v>
      </c>
      <c r="C60" s="2">
        <f t="shared" si="0"/>
        <v>2</v>
      </c>
      <c r="D60" s="2">
        <f t="shared" si="1"/>
        <v>5</v>
      </c>
      <c r="E60" s="2">
        <f t="shared" si="2"/>
        <v>10</v>
      </c>
      <c r="F60" t="s">
        <v>228</v>
      </c>
      <c r="J60" t="s">
        <v>219</v>
      </c>
      <c r="N60" t="s">
        <v>220</v>
      </c>
      <c r="U60" t="s">
        <v>194</v>
      </c>
      <c r="Y60" t="s">
        <v>195</v>
      </c>
    </row>
    <row r="61" spans="1:25" x14ac:dyDescent="0.2">
      <c r="A61" t="s">
        <v>240</v>
      </c>
      <c r="B61" s="2">
        <v>1</v>
      </c>
      <c r="C61" s="2">
        <f t="shared" si="0"/>
        <v>2</v>
      </c>
      <c r="D61" s="2">
        <f t="shared" si="1"/>
        <v>5</v>
      </c>
      <c r="E61" s="2">
        <f t="shared" si="2"/>
        <v>10</v>
      </c>
      <c r="F61" t="s">
        <v>230</v>
      </c>
      <c r="J61" t="s">
        <v>219</v>
      </c>
      <c r="N61" t="s">
        <v>220</v>
      </c>
      <c r="U61" t="s">
        <v>194</v>
      </c>
      <c r="Y61" t="s">
        <v>195</v>
      </c>
    </row>
    <row r="62" spans="1:25" x14ac:dyDescent="0.2">
      <c r="A62" t="s">
        <v>241</v>
      </c>
      <c r="B62" s="2">
        <v>1</v>
      </c>
      <c r="C62" s="2">
        <f t="shared" si="0"/>
        <v>2</v>
      </c>
      <c r="D62" s="2">
        <f t="shared" si="1"/>
        <v>5</v>
      </c>
      <c r="E62" s="2">
        <f t="shared" si="2"/>
        <v>10</v>
      </c>
      <c r="F62" t="s">
        <v>232</v>
      </c>
      <c r="J62" t="s">
        <v>219</v>
      </c>
      <c r="N62" t="s">
        <v>220</v>
      </c>
      <c r="U62" t="s">
        <v>194</v>
      </c>
      <c r="Y62" t="s">
        <v>195</v>
      </c>
    </row>
    <row r="63" spans="1:25" x14ac:dyDescent="0.2">
      <c r="A63" t="s">
        <v>242</v>
      </c>
      <c r="B63" s="2">
        <v>1</v>
      </c>
      <c r="C63" s="2">
        <f t="shared" si="0"/>
        <v>2</v>
      </c>
      <c r="D63" s="2">
        <f t="shared" si="1"/>
        <v>5</v>
      </c>
      <c r="E63" s="2">
        <f t="shared" si="2"/>
        <v>10</v>
      </c>
      <c r="F63" t="s">
        <v>234</v>
      </c>
      <c r="J63" t="s">
        <v>219</v>
      </c>
      <c r="N63" t="s">
        <v>220</v>
      </c>
      <c r="U63" t="s">
        <v>194</v>
      </c>
      <c r="Y63" t="s">
        <v>195</v>
      </c>
    </row>
    <row r="64" spans="1:25" x14ac:dyDescent="0.2">
      <c r="A64" t="s">
        <v>243</v>
      </c>
      <c r="B64" s="2">
        <v>1</v>
      </c>
      <c r="C64" s="2">
        <f t="shared" si="0"/>
        <v>2</v>
      </c>
      <c r="D64" s="2">
        <f t="shared" si="1"/>
        <v>5</v>
      </c>
      <c r="E64" s="2">
        <f t="shared" si="2"/>
        <v>10</v>
      </c>
      <c r="F64" t="s">
        <v>236</v>
      </c>
      <c r="J64" t="s">
        <v>219</v>
      </c>
      <c r="N64" t="s">
        <v>220</v>
      </c>
      <c r="U64" t="s">
        <v>194</v>
      </c>
      <c r="Y64" t="s">
        <v>195</v>
      </c>
    </row>
    <row r="65" spans="1:31" x14ac:dyDescent="0.2">
      <c r="A65" t="s">
        <v>244</v>
      </c>
      <c r="B65" s="2">
        <v>1</v>
      </c>
      <c r="C65" s="2">
        <f t="shared" si="0"/>
        <v>2</v>
      </c>
      <c r="D65" s="2">
        <f t="shared" si="1"/>
        <v>5</v>
      </c>
      <c r="E65" s="2">
        <f t="shared" si="2"/>
        <v>10</v>
      </c>
      <c r="F65" t="s">
        <v>238</v>
      </c>
      <c r="J65" t="s">
        <v>219</v>
      </c>
      <c r="N65" t="s">
        <v>220</v>
      </c>
      <c r="U65" t="s">
        <v>194</v>
      </c>
      <c r="Y65" t="s">
        <v>195</v>
      </c>
    </row>
    <row r="66" spans="1:31" x14ac:dyDescent="0.2">
      <c r="A66" t="s">
        <v>245</v>
      </c>
      <c r="B66" s="2">
        <v>1</v>
      </c>
      <c r="C66" s="2">
        <f t="shared" si="0"/>
        <v>2</v>
      </c>
      <c r="D66" s="2">
        <f t="shared" si="1"/>
        <v>5</v>
      </c>
      <c r="E66" s="2">
        <f t="shared" si="2"/>
        <v>10</v>
      </c>
      <c r="F66" t="s">
        <v>246</v>
      </c>
      <c r="J66" t="s">
        <v>247</v>
      </c>
      <c r="N66" t="s">
        <v>248</v>
      </c>
      <c r="U66" t="s">
        <v>108</v>
      </c>
      <c r="Y66" t="s">
        <v>249</v>
      </c>
    </row>
    <row r="67" spans="1:31" x14ac:dyDescent="0.2">
      <c r="A67" t="s">
        <v>250</v>
      </c>
      <c r="B67" s="2">
        <v>1</v>
      </c>
      <c r="C67" s="2">
        <f t="shared" ref="C67:C70" si="3">B67*2</f>
        <v>2</v>
      </c>
      <c r="D67" s="2">
        <f t="shared" ref="D67:D70" si="4">B67*5</f>
        <v>5</v>
      </c>
      <c r="E67" s="2">
        <f t="shared" ref="E67:E70" si="5">B67*10</f>
        <v>10</v>
      </c>
      <c r="F67" t="s">
        <v>251</v>
      </c>
      <c r="J67" t="s">
        <v>252</v>
      </c>
      <c r="K67" t="s">
        <v>253</v>
      </c>
      <c r="P67" t="s">
        <v>254</v>
      </c>
      <c r="X67" t="s">
        <v>255</v>
      </c>
      <c r="Y67" t="s">
        <v>256</v>
      </c>
      <c r="AB67" t="s">
        <v>31</v>
      </c>
      <c r="AE67" t="s">
        <v>257</v>
      </c>
    </row>
    <row r="68" spans="1:31" x14ac:dyDescent="0.2">
      <c r="A68" t="s">
        <v>258</v>
      </c>
      <c r="B68" s="2">
        <v>2</v>
      </c>
      <c r="C68" s="2">
        <f t="shared" si="3"/>
        <v>4</v>
      </c>
      <c r="D68" s="2">
        <f t="shared" si="4"/>
        <v>10</v>
      </c>
      <c r="E68" s="2">
        <f t="shared" si="5"/>
        <v>20</v>
      </c>
      <c r="F68" t="s">
        <v>259</v>
      </c>
      <c r="J68" t="s">
        <v>260</v>
      </c>
      <c r="K68" t="s">
        <v>261</v>
      </c>
      <c r="AE68" t="s">
        <v>262</v>
      </c>
    </row>
    <row r="69" spans="1:31" ht="16" customHeight="1" x14ac:dyDescent="0.2">
      <c r="A69" t="s">
        <v>263</v>
      </c>
      <c r="B69" s="2">
        <v>1</v>
      </c>
      <c r="C69" s="2">
        <f t="shared" si="3"/>
        <v>2</v>
      </c>
      <c r="D69" s="2">
        <f t="shared" si="4"/>
        <v>5</v>
      </c>
      <c r="E69" s="2">
        <f t="shared" si="5"/>
        <v>10</v>
      </c>
      <c r="F69" t="s">
        <v>264</v>
      </c>
      <c r="J69" t="s">
        <v>265</v>
      </c>
      <c r="K69" t="s">
        <v>266</v>
      </c>
      <c r="O69" s="4" t="s">
        <v>278</v>
      </c>
      <c r="P69" s="4"/>
      <c r="Q69" s="4"/>
      <c r="R69" s="4">
        <f>SUM(R2:R68)</f>
        <v>2</v>
      </c>
      <c r="S69" s="4">
        <f>SUM(S2:S68)</f>
        <v>5</v>
      </c>
      <c r="T69" s="4">
        <f>SUM(T2:T68)</f>
        <v>10</v>
      </c>
      <c r="AE69" t="s">
        <v>267</v>
      </c>
    </row>
    <row r="70" spans="1:31" ht="16" customHeight="1" x14ac:dyDescent="0.2">
      <c r="A70" t="s">
        <v>268</v>
      </c>
      <c r="B70" s="2">
        <v>2</v>
      </c>
      <c r="C70" s="2">
        <f t="shared" si="3"/>
        <v>4</v>
      </c>
      <c r="D70" s="2">
        <f t="shared" si="4"/>
        <v>10</v>
      </c>
      <c r="E70" s="2">
        <f t="shared" si="5"/>
        <v>20</v>
      </c>
      <c r="F70" t="s">
        <v>269</v>
      </c>
      <c r="J70" t="s">
        <v>270</v>
      </c>
      <c r="O70" s="4"/>
      <c r="P70" s="4"/>
      <c r="Q70" s="4"/>
      <c r="R70" s="4"/>
      <c r="S70" s="4"/>
      <c r="T70" s="4"/>
    </row>
    <row r="71" spans="1:31" x14ac:dyDescent="0.2">
      <c r="R71" s="3" t="s">
        <v>279</v>
      </c>
      <c r="S71" s="3" t="s">
        <v>280</v>
      </c>
      <c r="T71" s="3" t="s">
        <v>281</v>
      </c>
    </row>
  </sheetData>
  <mergeCells count="4">
    <mergeCell ref="R69:R70"/>
    <mergeCell ref="S69:S70"/>
    <mergeCell ref="T69:T70"/>
    <mergeCell ref="O69:Q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Blad1!STM32_Nucleo_RS232___RS485_Expansion_Board__ST_Zio_Compatible__V2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Rozendaal, Stefan</dc:creator>
  <cp:lastModifiedBy>van Rozendaal, Stefan</cp:lastModifiedBy>
  <dcterms:created xsi:type="dcterms:W3CDTF">2026-02-15T20:13:14Z</dcterms:created>
  <dcterms:modified xsi:type="dcterms:W3CDTF">2026-02-15T20:58:20Z</dcterms:modified>
</cp:coreProperties>
</file>